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B5200F7-9D0F-468E-AA4F-F286E93EA0E3}" xr6:coauthVersionLast="47" xr6:coauthVersionMax="47" xr10:uidLastSave="{00000000-0000-0000-0000-000000000000}"/>
  <bookViews>
    <workbookView xWindow="-108" yWindow="-108" windowWidth="23256" windowHeight="12456" activeTab="1" xr2:uid="{ECD19FE2-0B96-487E-B3BF-2FD446CC26B5}"/>
  </bookViews>
  <sheets>
    <sheet name="Bai1" sheetId="1" r:id="rId1"/>
    <sheet name="Bai2" sheetId="2" r:id="rId2"/>
    <sheet name="Bai3" sheetId="3" r:id="rId3"/>
    <sheet name="Bài4" sheetId="4" r:id="rId4"/>
    <sheet name="Bài 5" sheetId="5" r:id="rId5"/>
    <sheet name="Bài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6" l="1"/>
  <c r="H8" i="6"/>
  <c r="F8" i="6"/>
  <c r="D8" i="6"/>
  <c r="J8" i="5"/>
  <c r="H8" i="5"/>
  <c r="F8" i="5"/>
  <c r="D8" i="5"/>
  <c r="J8" i="4"/>
  <c r="H8" i="4"/>
  <c r="F8" i="4"/>
  <c r="D8" i="4"/>
  <c r="J8" i="3"/>
  <c r="H8" i="3"/>
  <c r="F8" i="3"/>
  <c r="D8" i="3"/>
  <c r="J8" i="2"/>
  <c r="H8" i="2"/>
  <c r="F8" i="2"/>
  <c r="D8" i="2"/>
  <c r="J8" i="1"/>
  <c r="H8" i="1"/>
  <c r="F8" i="1"/>
  <c r="D8" i="1"/>
</calcChain>
</file>

<file path=xl/sharedStrings.xml><?xml version="1.0" encoding="utf-8"?>
<sst xmlns="http://schemas.openxmlformats.org/spreadsheetml/2006/main" count="505" uniqueCount="247">
  <si>
    <t>Module under test</t>
  </si>
  <si>
    <t>JunitMessage + AirthematicTest</t>
  </si>
  <si>
    <t>Description</t>
  </si>
  <si>
    <t>Thiết kế unit test bắt ngoại lệ phép chia cho 0 và kiểm tra printHiMessage().</t>
  </si>
  <si>
    <t/>
  </si>
  <si>
    <t>Date</t>
  </si>
  <si>
    <t>2026-02-03</t>
  </si>
  <si>
    <t>Version</t>
  </si>
  <si>
    <t>1.0</t>
  </si>
  <si>
    <t>Summary</t>
  </si>
  <si>
    <t>Total</t>
  </si>
  <si>
    <t>Pass</t>
  </si>
  <si>
    <t>Fail</t>
  </si>
  <si>
    <t>NR</t>
  </si>
  <si>
    <t>TC_ID</t>
  </si>
  <si>
    <t>Scenario / Mục tiêu</t>
  </si>
  <si>
    <t>Preconditions / Điều kiện</t>
  </si>
  <si>
    <t>Test data / Input</t>
  </si>
  <si>
    <t>Steps / Bước thực hiện</t>
  </si>
  <si>
    <t>Expected result / KQ mong đợi</t>
  </si>
  <si>
    <t>Actual result / KQ thực tế</t>
  </si>
  <si>
    <t>Status (Pass/Fail/NR)</t>
  </si>
  <si>
    <t>White-box technique</t>
  </si>
  <si>
    <t>Coverage/Path</t>
  </si>
  <si>
    <t>Notes / Defect ID</t>
  </si>
  <si>
    <t>B1-TC01</t>
  </si>
  <si>
    <t>printMessage() chia cho 0 -&gt; ném ArithmeticException</t>
  </si>
  <si>
    <t>Khởi tạo JunitMessage với message='Fpoly exception'</t>
  </si>
  <si>
    <t>message='Fpoly exception'</t>
  </si>
  <si>
    <t>1) new JunitMessage(message)
2) gọi printMessage()</t>
  </si>
  <si>
    <t>JUnit bắt ngoại lệ ArithmeticException -&gt; test PASS</t>
  </si>
  <si>
    <t>@Test(expected)</t>
  </si>
  <si>
    <t>Exception path</t>
  </si>
  <si>
    <t>B1-TC02</t>
  </si>
  <si>
    <t>printHiMessage() trả về 'Hi!' + message</t>
  </si>
  <si>
    <t>Khởi tạo JunitMessage</t>
  </si>
  <si>
    <t>1) new JunitMessage(message)
2) gọi printHiMessage()</t>
  </si>
  <si>
    <t>Trả về 'Hi!Fpoly exception' và in ra console</t>
  </si>
  <si>
    <t>AssertEquals</t>
  </si>
  <si>
    <t>Statement</t>
  </si>
  <si>
    <t>B1-TC03</t>
  </si>
  <si>
    <t>printHiMessage() gọi 2 lần -&gt; prefix lặp</t>
  </si>
  <si>
    <t>message='X'</t>
  </si>
  <si>
    <t>1) new JunitMessage('X')
2) gọi printHiMessage() 2 lần</t>
  </si>
  <si>
    <t>Lần 1: 'Hi!X'
Lần 2: 'Hi!Hi!X'</t>
  </si>
  <si>
    <t>State-based</t>
  </si>
  <si>
    <t>State change</t>
  </si>
  <si>
    <t>Person + PersonTest</t>
  </si>
  <si>
    <t>Test IllegalArgumentException khi age&lt;0 bằng @Test(expected), ExpectedException Rule và try-catch.</t>
  </si>
  <si>
    <t>creator</t>
  </si>
  <si>
    <t>Huỳnh Hữu Hoàng</t>
  </si>
  <si>
    <t>Reviewer/Approver</t>
  </si>
  <si>
    <t>Giảng viên</t>
  </si>
  <si>
    <t>B2-TC01</t>
  </si>
  <si>
    <t>age &lt; 0 -&gt; ném IllegalArgumentException</t>
  </si>
  <si>
    <t>Không</t>
  </si>
  <si>
    <t>name='Fpoly', age=-1</t>
  </si>
  <si>
    <t>new Person('Fpoly', -1)</t>
  </si>
  <si>
    <t>Ném IllegalArgumentException</t>
  </si>
  <si>
    <t>@Test(expected) / Rule / try-catch</t>
  </si>
  <si>
    <t>Invalid branch</t>
  </si>
  <si>
    <t>Theo Bài 2: age&lt;0.</t>
  </si>
  <si>
    <t>B2-TC02</t>
  </si>
  <si>
    <t>age = 0 -&gt; hợp lệ (nếu code theo age&lt;0)</t>
  </si>
  <si>
    <t>name='Fpoly', age=0</t>
  </si>
  <si>
    <t>new Person('Fpoly', 0)</t>
  </si>
  <si>
    <t>Tạo Person thành công, getAge()==0</t>
  </si>
  <si>
    <t>Valid branch</t>
  </si>
  <si>
    <t>B2-TC03</t>
  </si>
  <si>
    <t>age = 1 -&gt; hợp lệ</t>
  </si>
  <si>
    <t>name='A', age=1</t>
  </si>
  <si>
    <t>new Person('A', 1)</t>
  </si>
  <si>
    <t>Tạo Person thành công</t>
  </si>
  <si>
    <t>Parameterized (optional)</t>
  </si>
  <si>
    <t>ErrorCollectorExample + TestRunner</t>
  </si>
  <si>
    <t>Thu thập nhiều lỗi trong 1 test bằng ErrorCollector và chạy bằng JUnitCore.</t>
  </si>
  <si>
    <t>B3-TC01</t>
  </si>
  <si>
    <t>ErrorCollector thu thập nhiều lỗi trong 1 test</t>
  </si>
  <si>
    <t>Có ErrorCollector @Rule</t>
  </si>
  <si>
    <t>2 Throwable + 1 assert fail</t>
  </si>
  <si>
    <t>1) collector.addError(throwable1)
2) collector.addError(throwable2)
3) assertTrue(false) trong try-catch và collector.addError(t)</t>
  </si>
  <si>
    <t>Test kết thúc báo failure với danh sách lỗi đã lưu vết</t>
  </si>
  <si>
    <t>ErrorCollector @Rule</t>
  </si>
  <si>
    <t>Multiple-failure</t>
  </si>
  <si>
    <t>B3-TC02</t>
  </si>
  <si>
    <t>TestRunner chạy class test và in ra failures</t>
  </si>
  <si>
    <t>Có class TestRunner dùng JUnitCore</t>
  </si>
  <si>
    <t>ErrorCollectorExample.class</t>
  </si>
  <si>
    <t>Chạy main TestRunner</t>
  </si>
  <si>
    <t>Console in failures và success=false</t>
  </si>
  <si>
    <t>JUnitCore.runClasses</t>
  </si>
  <si>
    <t>Runner path</t>
  </si>
  <si>
    <t>Add Job Title (Job Title, Description, Job Specification, Note)</t>
  </si>
  <si>
    <t>Thiết kế test case dựa theo bảng partition/boundary cho Add Job Title.</t>
  </si>
  <si>
    <t>B4-TC01</t>
  </si>
  <si>
    <t>Job Title rỗng (length=0)</t>
  </si>
  <si>
    <t>DB OK</t>
  </si>
  <si>
    <t>JobTitle=''</t>
  </si>
  <si>
    <t>Để trống Job Title -&gt; Save</t>
  </si>
  <si>
    <t>Báo lỗi required Job Title</t>
  </si>
  <si>
    <t>Boundary</t>
  </si>
  <si>
    <t>Partition 1: chuỗi rỗng.</t>
  </si>
  <si>
    <t>B4-TC02</t>
  </si>
  <si>
    <t>Job Title hợp lệ (1..100)</t>
  </si>
  <si>
    <t>JobTitle len=100</t>
  </si>
  <si>
    <t>Nhập Job Title 100 ký tự -&gt; Save</t>
  </si>
  <si>
    <t>Lưu thành công</t>
  </si>
  <si>
    <t>Partition 2.</t>
  </si>
  <si>
    <t>B4-TC03</t>
  </si>
  <si>
    <t>Job Title quá dài (&gt;100)</t>
  </si>
  <si>
    <t>JobTitle len=101</t>
  </si>
  <si>
    <t>Nhập Job Title 101 ký tự -&gt; Save</t>
  </si>
  <si>
    <t>Báo lỗi quá dài</t>
  </si>
  <si>
    <t>Partition 3.</t>
  </si>
  <si>
    <t>B4-TC04</t>
  </si>
  <si>
    <t>Description rỗng (length=0)</t>
  </si>
  <si>
    <t>Description=''</t>
  </si>
  <si>
    <t>Để trống Description -&gt; Save</t>
  </si>
  <si>
    <t>Optional field</t>
  </si>
  <si>
    <t>Partition 4.</t>
  </si>
  <si>
    <t>B4-TC05</t>
  </si>
  <si>
    <t>Description hợp lệ (1..400)</t>
  </si>
  <si>
    <t>Description len=400</t>
  </si>
  <si>
    <t>Nhập 400 ký tự -&gt; Save</t>
  </si>
  <si>
    <t>Partition 5.</t>
  </si>
  <si>
    <t>B4-TC06</t>
  </si>
  <si>
    <t>Description quá dài (&gt;400)</t>
  </si>
  <si>
    <t>Description len=401</t>
  </si>
  <si>
    <t>Nhập 401 ký tự -&gt; Save</t>
  </si>
  <si>
    <t>Partition 6.</t>
  </si>
  <si>
    <t>B4-TC07</t>
  </si>
  <si>
    <t>Job Specification file rỗng (0kB)</t>
  </si>
  <si>
    <t>FileSize=0kB</t>
  </si>
  <si>
    <t>Không upload hoặc upload file 0kB -&gt; Save</t>
  </si>
  <si>
    <t>Optional file</t>
  </si>
  <si>
    <t>Partition 7.</t>
  </si>
  <si>
    <t>B4-TC08</t>
  </si>
  <si>
    <t>Job Specification hợp lệ (&lt;=1024kB)</t>
  </si>
  <si>
    <t>FileSize=1024kB</t>
  </si>
  <si>
    <t>Upload file 1024kB -&gt; Save</t>
  </si>
  <si>
    <t>Partition 8.</t>
  </si>
  <si>
    <t>B4-TC09</t>
  </si>
  <si>
    <t>Job Specification quá lớn (&gt;1024kB)</t>
  </si>
  <si>
    <t>FileSize=1025kB</t>
  </si>
  <si>
    <t>Upload file 1025kB -&gt; Save</t>
  </si>
  <si>
    <t>Báo lỗi file quá lớn</t>
  </si>
  <si>
    <t>Partition 9.</t>
  </si>
  <si>
    <t>B4-TC10</t>
  </si>
  <si>
    <t>Note rỗng (length=0)</t>
  </si>
  <si>
    <t>Note=''</t>
  </si>
  <si>
    <t>Để trống Note -&gt; Save</t>
  </si>
  <si>
    <t>Partition 10.</t>
  </si>
  <si>
    <t>B4-TC11</t>
  </si>
  <si>
    <t>Note hợp lệ (1..400)</t>
  </si>
  <si>
    <t>Note len=400</t>
  </si>
  <si>
    <t>Partition 11.</t>
  </si>
  <si>
    <t>B4-TC12</t>
  </si>
  <si>
    <t>Note quá dài (&gt;400)</t>
  </si>
  <si>
    <t>Note len=401</t>
  </si>
  <si>
    <t>Partition 12.</t>
  </si>
  <si>
    <t>Add Organization Unit (Unit Id, Name*, Description)</t>
  </si>
  <si>
    <t>Thiết kế test case cho màn hình Add Organization Unit.</t>
  </si>
  <si>
    <t>B5-TC01</t>
  </si>
  <si>
    <t>Name* rỗng</t>
  </si>
  <si>
    <t>UnitId='OU01', Name='', Desc='abc'</t>
  </si>
  <si>
    <t>Nhập Name rỗng -&gt; Save</t>
  </si>
  <si>
    <t>Báo lỗi required cho Name</t>
  </si>
  <si>
    <t>Validation</t>
  </si>
  <si>
    <t>B5-TC02</t>
  </si>
  <si>
    <t>Name* chỉ có khoảng trắng</t>
  </si>
  <si>
    <t>Name='   '</t>
  </si>
  <si>
    <t>Nhập -&gt; Save</t>
  </si>
  <si>
    <t>Trim -&gt; coi như rỗng, báo required</t>
  </si>
  <si>
    <t>B5-TC03</t>
  </si>
  <si>
    <t>Tên hợp lệ</t>
  </si>
  <si>
    <t>UnitId='OU01', Name='HR', Desc=''</t>
  </si>
  <si>
    <t>Lưu thành công, record xuất hiện</t>
  </si>
  <si>
    <t>Positive</t>
  </si>
  <si>
    <t>Main path</t>
  </si>
  <si>
    <t>B5-TC04</t>
  </si>
  <si>
    <t>Unit Id trùng</t>
  </si>
  <si>
    <t>DB đã có UnitId=OU01</t>
  </si>
  <si>
    <t>UnitId='OU01', Name='HR2'</t>
  </si>
  <si>
    <t>Báo lỗi trùng Unit Id</t>
  </si>
  <si>
    <t>DB/Repo unique</t>
  </si>
  <si>
    <t>Duplicate path</t>
  </si>
  <si>
    <t>B5-TC05</t>
  </si>
  <si>
    <t>Description rất dài (boundary)</t>
  </si>
  <si>
    <t>Desc length=401</t>
  </si>
  <si>
    <t>Paste text 401 ký tự -&gt; Save</t>
  </si>
  <si>
    <t>Length check</t>
  </si>
  <si>
    <t>record xuất hiện</t>
  </si>
  <si>
    <t>Báo lỗi quá dài, hoặc truncate theo spec</t>
  </si>
  <si>
    <t xml:space="preserve"> Required cho Name</t>
  </si>
  <si>
    <t>User Management (Username, Password, Fullname, Email)</t>
  </si>
  <si>
    <t>Thiết kế test case cho màn hình quản lý người dùng (Create/Update/Delete/Reset).</t>
  </si>
  <si>
    <t>B6-TC01</t>
  </si>
  <si>
    <t>Create user: thiếu Username</t>
  </si>
  <si>
    <t>Username='', Password='12345678', Fullname='A', Email='a@b.com'</t>
  </si>
  <si>
    <t>Nhập thiếu Username -&gt; Create</t>
  </si>
  <si>
    <t>Báo required Username</t>
  </si>
  <si>
    <t>B6-TC02</t>
  </si>
  <si>
    <t>Create user: email sai format</t>
  </si>
  <si>
    <t>Email='abc'</t>
  </si>
  <si>
    <t>Nhập -&gt; Create</t>
  </si>
  <si>
    <t>Báo lỗi email không hợp lệ</t>
  </si>
  <si>
    <t>Regex branch</t>
  </si>
  <si>
    <t>B6-TC03</t>
  </si>
  <si>
    <t>Create user: password quá ngắn</t>
  </si>
  <si>
    <t>Password='123'</t>
  </si>
  <si>
    <t>Báo lỗi password</t>
  </si>
  <si>
    <t>B6-TC04</t>
  </si>
  <si>
    <t>Create user thành công</t>
  </si>
  <si>
    <t>Username='u1', Password='12345678', Fullname='User 1', Email='u1@test.com'</t>
  </si>
  <si>
    <t>B6-TC05</t>
  </si>
  <si>
    <t>Update user không tồn tại</t>
  </si>
  <si>
    <t>DB không có u404</t>
  </si>
  <si>
    <t>Username='u404', ...</t>
  </si>
  <si>
    <t>Nhập -&gt; Update</t>
  </si>
  <si>
    <t>Báo không tìm thấy</t>
  </si>
  <si>
    <t>Negative</t>
  </si>
  <si>
    <t>Not-found path</t>
  </si>
  <si>
    <t>B6-TC06</t>
  </si>
  <si>
    <t>Delete user thành công</t>
  </si>
  <si>
    <t>DB có u1</t>
  </si>
  <si>
    <t>Username='u1'</t>
  </si>
  <si>
    <t>Chọn u1 -&gt; Delete</t>
  </si>
  <si>
    <t>Xóa thành công, record biến mất</t>
  </si>
  <si>
    <t>Delete path</t>
  </si>
  <si>
    <t>required Username</t>
  </si>
  <si>
    <t>Không tìm thấy</t>
  </si>
  <si>
    <t>Xóa thành công</t>
  </si>
  <si>
    <t xml:space="preserve">Nếu age&lt;=0 thì TC sẽ FAIL </t>
  </si>
  <si>
    <t xml:space="preserve"> IllegalArgumentException</t>
  </si>
  <si>
    <t xml:space="preserve"> phép chia cho 0.</t>
  </si>
  <si>
    <t>kiểm tra mutation message</t>
  </si>
  <si>
    <t>LAB06 - Bài 1</t>
  </si>
  <si>
    <t>LAB06 - Bài 3</t>
  </si>
  <si>
    <t>LAB06 - Bài 2</t>
  </si>
  <si>
    <t>LAB06 - Bài 4</t>
  </si>
  <si>
    <t>LAB06 - Bài 5</t>
  </si>
  <si>
    <t xml:space="preserve"> danh sách lỗi đã lưu vết</t>
  </si>
  <si>
    <t>required Job Title</t>
  </si>
  <si>
    <t>Vẫn lưu  hoặc báo required theo spec</t>
  </si>
  <si>
    <t>báo required theo spec</t>
  </si>
  <si>
    <t>File quá lớn</t>
  </si>
  <si>
    <t>LAB06 - Bài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</si>
</sst>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b/>
      <sz val="11"/>
      <color rgb="FF1F4E79"/>
      <name val="Calibri"/>
      <family val="2"/>
    </font>
    <font>
      <b/>
      <sz val="11"/>
      <name val="Calibri"/>
      <family val="2"/>
    </font>
    <font>
      <b/>
      <sz val="10"/>
      <color theme="4" tint="-0.499984740745262"/>
      <name val="Times New Roman"/>
      <family val="1"/>
    </font>
    <font>
      <b/>
      <sz val="10"/>
      <color theme="4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2" xfId="0" applyFont="1" applyBorder="1"/>
    <xf numFmtId="0" fontId="0" fillId="0" borderId="2" xfId="0" applyBorder="1"/>
    <xf numFmtId="0" fontId="4" fillId="4" borderId="2" xfId="0" applyFont="1" applyFill="1" applyBorder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3" xfId="0" applyBorder="1"/>
    <xf numFmtId="0" fontId="2" fillId="0" borderId="3" xfId="0" applyFont="1" applyBorder="1"/>
    <xf numFmtId="0" fontId="2" fillId="0" borderId="4" xfId="0" applyFont="1" applyBorder="1"/>
    <xf numFmtId="0" fontId="4" fillId="4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Font="1" applyBorder="1"/>
    <xf numFmtId="0" fontId="5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1ACB-857C-4387-BF2C-B4640B0853DD}">
  <dimension ref="A1:K13"/>
  <sheetViews>
    <sheetView topLeftCell="A2" workbookViewId="0">
      <selection activeCell="D15" sqref="D15"/>
    </sheetView>
  </sheetViews>
  <sheetFormatPr defaultRowHeight="14.4" x14ac:dyDescent="0.3"/>
  <cols>
    <col min="1" max="1" width="20.109375" customWidth="1"/>
    <col min="2" max="2" width="27.77734375" customWidth="1"/>
    <col min="3" max="3" width="15" customWidth="1"/>
    <col min="4" max="4" width="17.33203125" customWidth="1"/>
    <col min="5" max="5" width="26.6640625" customWidth="1"/>
    <col min="6" max="6" width="20.77734375" customWidth="1"/>
    <col min="7" max="7" width="26.33203125" customWidth="1"/>
    <col min="8" max="8" width="23" customWidth="1"/>
    <col min="9" max="9" width="21.5546875" customWidth="1"/>
    <col min="10" max="10" width="26.44140625" customWidth="1"/>
    <col min="11" max="11" width="43.44140625" customWidth="1"/>
  </cols>
  <sheetData>
    <row r="1" spans="1:11" ht="21" x14ac:dyDescent="0.3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9" t="s">
        <v>0</v>
      </c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9" t="s">
        <v>2</v>
      </c>
      <c r="B3" s="10" t="s">
        <v>3</v>
      </c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22" t="s">
        <v>49</v>
      </c>
      <c r="B4" s="19" t="s">
        <v>50</v>
      </c>
    </row>
    <row r="5" spans="1:11" x14ac:dyDescent="0.3">
      <c r="A5" s="23" t="s">
        <v>51</v>
      </c>
      <c r="B5" s="20" t="s">
        <v>52</v>
      </c>
    </row>
    <row r="6" spans="1:11" x14ac:dyDescent="0.3">
      <c r="A6" s="9" t="s">
        <v>5</v>
      </c>
      <c r="B6" s="10" t="s">
        <v>6</v>
      </c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9" t="s">
        <v>7</v>
      </c>
      <c r="B7" s="10" t="s">
        <v>8</v>
      </c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4" t="s">
        <v>9</v>
      </c>
      <c r="B8" s="2"/>
      <c r="C8" s="5" t="s">
        <v>10</v>
      </c>
      <c r="D8" s="6">
        <f>COUNTA(A11:A40)</f>
        <v>3</v>
      </c>
      <c r="E8" s="5" t="s">
        <v>11</v>
      </c>
      <c r="F8" s="6">
        <f>COUNTIF(H11:H40,"Pass")</f>
        <v>3</v>
      </c>
      <c r="G8" s="5" t="s">
        <v>12</v>
      </c>
      <c r="H8" s="6">
        <f>COUNTIF(H11:H40,"Fail")</f>
        <v>0</v>
      </c>
      <c r="I8" s="5" t="s">
        <v>13</v>
      </c>
      <c r="J8" s="6">
        <f>COUNTIF(H11:H40,"NR")</f>
        <v>0</v>
      </c>
    </row>
    <row r="10" spans="1:11" ht="57.6" x14ac:dyDescent="0.3">
      <c r="A10" s="7" t="s">
        <v>14</v>
      </c>
      <c r="B10" s="7" t="s">
        <v>15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  <c r="H10" s="7" t="s">
        <v>21</v>
      </c>
      <c r="I10" s="7" t="s">
        <v>22</v>
      </c>
      <c r="J10" s="7" t="s">
        <v>23</v>
      </c>
      <c r="K10" s="7" t="s">
        <v>24</v>
      </c>
    </row>
    <row r="11" spans="1:11" ht="57.6" x14ac:dyDescent="0.3">
      <c r="A11" s="8" t="s">
        <v>25</v>
      </c>
      <c r="B11" s="8" t="s">
        <v>26</v>
      </c>
      <c r="C11" s="8" t="s">
        <v>27</v>
      </c>
      <c r="D11" s="8" t="s">
        <v>28</v>
      </c>
      <c r="E11" s="8" t="s">
        <v>29</v>
      </c>
      <c r="F11" s="8" t="s">
        <v>30</v>
      </c>
      <c r="G11" s="8" t="s">
        <v>4</v>
      </c>
      <c r="H11" s="8" t="s">
        <v>11</v>
      </c>
      <c r="I11" s="8" t="s">
        <v>31</v>
      </c>
      <c r="J11" s="8" t="s">
        <v>32</v>
      </c>
      <c r="K11" s="8" t="s">
        <v>234</v>
      </c>
    </row>
    <row r="12" spans="1:11" ht="43.2" x14ac:dyDescent="0.3">
      <c r="A12" s="8" t="s">
        <v>33</v>
      </c>
      <c r="B12" s="8" t="s">
        <v>34</v>
      </c>
      <c r="C12" s="8" t="s">
        <v>35</v>
      </c>
      <c r="D12" s="8" t="s">
        <v>28</v>
      </c>
      <c r="E12" s="8" t="s">
        <v>36</v>
      </c>
      <c r="F12" s="8" t="s">
        <v>37</v>
      </c>
      <c r="G12" s="8" t="s">
        <v>4</v>
      </c>
      <c r="H12" s="8" t="s">
        <v>11</v>
      </c>
      <c r="I12" s="8" t="s">
        <v>38</v>
      </c>
      <c r="J12" s="8" t="s">
        <v>39</v>
      </c>
      <c r="K12" s="8" t="s">
        <v>4</v>
      </c>
    </row>
    <row r="13" spans="1:11" ht="43.2" x14ac:dyDescent="0.3">
      <c r="A13" s="8" t="s">
        <v>40</v>
      </c>
      <c r="B13" s="8" t="s">
        <v>41</v>
      </c>
      <c r="C13" s="8" t="s">
        <v>35</v>
      </c>
      <c r="D13" s="8" t="s">
        <v>42</v>
      </c>
      <c r="E13" s="8" t="s">
        <v>43</v>
      </c>
      <c r="F13" s="8" t="s">
        <v>44</v>
      </c>
      <c r="G13" s="8" t="s">
        <v>4</v>
      </c>
      <c r="H13" s="8" t="s">
        <v>11</v>
      </c>
      <c r="I13" s="8" t="s">
        <v>45</v>
      </c>
      <c r="J13" s="8" t="s">
        <v>46</v>
      </c>
      <c r="K13" s="8" t="s">
        <v>235</v>
      </c>
    </row>
  </sheetData>
  <mergeCells count="6">
    <mergeCell ref="A8:B8"/>
    <mergeCell ref="A1:K1"/>
    <mergeCell ref="B2:K2"/>
    <mergeCell ref="B3:K3"/>
    <mergeCell ref="B6:K6"/>
    <mergeCell ref="B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5E40-B026-4CE4-9DEE-24CB31E9F58F}">
  <dimension ref="A1:K13"/>
  <sheetViews>
    <sheetView tabSelected="1" workbookViewId="0">
      <selection activeCell="C15" sqref="C15"/>
    </sheetView>
  </sheetViews>
  <sheetFormatPr defaultRowHeight="14.4" x14ac:dyDescent="0.3"/>
  <cols>
    <col min="1" max="1" width="21" customWidth="1"/>
    <col min="2" max="2" width="21.44140625" customWidth="1"/>
    <col min="3" max="3" width="14.44140625" customWidth="1"/>
    <col min="4" max="4" width="17.88671875" customWidth="1"/>
    <col min="5" max="5" width="21.33203125" customWidth="1"/>
    <col min="6" max="6" width="26.33203125" customWidth="1"/>
    <col min="7" max="7" width="21.5546875" customWidth="1"/>
    <col min="9" max="9" width="17" customWidth="1"/>
    <col min="11" max="11" width="25.21875" customWidth="1"/>
  </cols>
  <sheetData>
    <row r="1" spans="1:11" ht="21" x14ac:dyDescent="0.3">
      <c r="A1" s="1" t="s">
        <v>238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9" t="s">
        <v>0</v>
      </c>
      <c r="B2" s="10" t="s">
        <v>47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9" t="s">
        <v>2</v>
      </c>
      <c r="B3" s="10" t="s">
        <v>48</v>
      </c>
      <c r="C3" s="10"/>
      <c r="D3" s="16"/>
      <c r="E3" s="16"/>
      <c r="F3" s="16"/>
      <c r="G3" s="16"/>
      <c r="H3" s="16"/>
      <c r="I3" s="16"/>
      <c r="J3" s="16"/>
      <c r="K3" s="16"/>
    </row>
    <row r="4" spans="1:11" x14ac:dyDescent="0.3">
      <c r="A4" s="9" t="s">
        <v>49</v>
      </c>
      <c r="B4" s="12" t="s">
        <v>50</v>
      </c>
      <c r="C4" s="18"/>
      <c r="D4" s="17"/>
      <c r="E4" s="17"/>
      <c r="F4" s="17"/>
      <c r="G4" s="17"/>
      <c r="H4" s="17"/>
      <c r="I4" s="17"/>
      <c r="J4" s="17"/>
      <c r="K4" s="17"/>
    </row>
    <row r="5" spans="1:11" x14ac:dyDescent="0.3">
      <c r="A5" s="11" t="s">
        <v>51</v>
      </c>
      <c r="B5" s="12" t="s">
        <v>52</v>
      </c>
      <c r="C5" s="17"/>
      <c r="D5" s="17"/>
      <c r="E5" s="17"/>
      <c r="F5" s="17"/>
      <c r="G5" s="17"/>
      <c r="H5" s="17"/>
      <c r="I5" s="17"/>
      <c r="J5" s="17"/>
      <c r="K5" s="17"/>
    </row>
    <row r="6" spans="1:11" x14ac:dyDescent="0.3">
      <c r="A6" s="9" t="s">
        <v>5</v>
      </c>
      <c r="B6" s="20" t="s">
        <v>6</v>
      </c>
      <c r="C6" s="17"/>
      <c r="D6" s="17"/>
      <c r="E6" s="17"/>
      <c r="F6" s="17"/>
      <c r="G6" s="17"/>
      <c r="H6" s="17"/>
      <c r="I6" s="17"/>
      <c r="J6" s="17"/>
      <c r="K6" s="17"/>
    </row>
    <row r="7" spans="1:11" x14ac:dyDescent="0.3">
      <c r="A7" s="21" t="s">
        <v>7</v>
      </c>
      <c r="B7" s="20" t="s">
        <v>8</v>
      </c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3">
      <c r="A8" s="13" t="s">
        <v>9</v>
      </c>
      <c r="B8" s="10"/>
      <c r="C8" s="14" t="s">
        <v>10</v>
      </c>
      <c r="D8" s="15">
        <f>COUNTA(A11:A40)</f>
        <v>3</v>
      </c>
      <c r="E8" s="14" t="s">
        <v>11</v>
      </c>
      <c r="F8" s="15">
        <f>COUNTIF(H11:H40,"Pass")</f>
        <v>3</v>
      </c>
      <c r="G8" s="14" t="s">
        <v>12</v>
      </c>
      <c r="H8" s="15">
        <f>COUNTIF(H11:H40,"Fail")</f>
        <v>0</v>
      </c>
      <c r="I8" s="14" t="s">
        <v>13</v>
      </c>
      <c r="J8" s="15">
        <f>COUNTIF(H11:H40,"NR")</f>
        <v>0</v>
      </c>
      <c r="K8" s="12"/>
    </row>
    <row r="10" spans="1:11" ht="57.6" x14ac:dyDescent="0.3">
      <c r="A10" s="7" t="s">
        <v>14</v>
      </c>
      <c r="B10" s="7" t="s">
        <v>15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  <c r="H10" s="7" t="s">
        <v>21</v>
      </c>
      <c r="I10" s="7" t="s">
        <v>22</v>
      </c>
      <c r="J10" s="7" t="s">
        <v>23</v>
      </c>
      <c r="K10" s="7" t="s">
        <v>24</v>
      </c>
    </row>
    <row r="11" spans="1:11" ht="43.2" x14ac:dyDescent="0.3">
      <c r="A11" s="8" t="s">
        <v>53</v>
      </c>
      <c r="B11" s="8" t="s">
        <v>54</v>
      </c>
      <c r="C11" s="8" t="s">
        <v>55</v>
      </c>
      <c r="D11" s="8" t="s">
        <v>56</v>
      </c>
      <c r="E11" s="8" t="s">
        <v>57</v>
      </c>
      <c r="F11" s="8" t="s">
        <v>58</v>
      </c>
      <c r="G11" s="8" t="s">
        <v>233</v>
      </c>
      <c r="H11" s="8" t="s">
        <v>11</v>
      </c>
      <c r="I11" s="8" t="s">
        <v>59</v>
      </c>
      <c r="J11" s="8" t="s">
        <v>60</v>
      </c>
      <c r="K11" s="8" t="s">
        <v>61</v>
      </c>
    </row>
    <row r="12" spans="1:11" ht="52.2" customHeight="1" x14ac:dyDescent="0.3">
      <c r="A12" s="8" t="s">
        <v>62</v>
      </c>
      <c r="B12" s="8" t="s">
        <v>63</v>
      </c>
      <c r="C12" s="8" t="s">
        <v>55</v>
      </c>
      <c r="D12" s="8" t="s">
        <v>64</v>
      </c>
      <c r="E12" s="8" t="s">
        <v>65</v>
      </c>
      <c r="F12" s="8" t="s">
        <v>66</v>
      </c>
      <c r="G12" s="8" t="s">
        <v>66</v>
      </c>
      <c r="H12" s="8" t="s">
        <v>11</v>
      </c>
      <c r="I12" s="8" t="s">
        <v>38</v>
      </c>
      <c r="J12" s="8" t="s">
        <v>67</v>
      </c>
      <c r="K12" s="8" t="s">
        <v>232</v>
      </c>
    </row>
    <row r="13" spans="1:11" ht="28.8" x14ac:dyDescent="0.3">
      <c r="A13" s="8" t="s">
        <v>68</v>
      </c>
      <c r="B13" s="8" t="s">
        <v>69</v>
      </c>
      <c r="C13" s="8" t="s">
        <v>55</v>
      </c>
      <c r="D13" s="8" t="s">
        <v>70</v>
      </c>
      <c r="E13" s="8" t="s">
        <v>71</v>
      </c>
      <c r="F13" s="8" t="s">
        <v>72</v>
      </c>
      <c r="G13" s="8" t="s">
        <v>72</v>
      </c>
      <c r="H13" s="8" t="s">
        <v>11</v>
      </c>
      <c r="I13" s="8" t="s">
        <v>73</v>
      </c>
      <c r="J13" s="8" t="s">
        <v>67</v>
      </c>
      <c r="K13" s="8" t="s">
        <v>4</v>
      </c>
    </row>
  </sheetData>
  <mergeCells count="4">
    <mergeCell ref="A8:B8"/>
    <mergeCell ref="A1:K1"/>
    <mergeCell ref="B2:K2"/>
    <mergeCell ref="B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3153-657D-4F47-8E73-1B71050334EE}">
  <dimension ref="A1:J12"/>
  <sheetViews>
    <sheetView workbookViewId="0">
      <selection activeCell="A4" sqref="A4:B5"/>
    </sheetView>
  </sheetViews>
  <sheetFormatPr defaultRowHeight="14.4" x14ac:dyDescent="0.3"/>
  <cols>
    <col min="1" max="1" width="18.44140625" customWidth="1"/>
    <col min="5" max="5" width="36.44140625" customWidth="1"/>
    <col min="6" max="6" width="19.21875" customWidth="1"/>
    <col min="7" max="7" width="13.5546875" customWidth="1"/>
  </cols>
  <sheetData>
    <row r="1" spans="1:10" ht="21" x14ac:dyDescent="0.3">
      <c r="A1" s="1" t="s">
        <v>237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0</v>
      </c>
      <c r="B2" s="2" t="s">
        <v>74</v>
      </c>
      <c r="C2" s="2"/>
      <c r="D2" s="2"/>
      <c r="E2" s="2"/>
      <c r="F2" s="2"/>
      <c r="G2" s="2"/>
      <c r="H2" s="2"/>
      <c r="I2" s="2"/>
      <c r="J2" s="2"/>
    </row>
    <row r="3" spans="1:10" x14ac:dyDescent="0.3">
      <c r="A3" s="3" t="s">
        <v>2</v>
      </c>
      <c r="B3" s="2" t="s">
        <v>75</v>
      </c>
      <c r="C3" s="2"/>
      <c r="D3" s="2"/>
      <c r="E3" s="2"/>
      <c r="F3" s="2"/>
      <c r="G3" s="2"/>
      <c r="H3" s="2"/>
      <c r="I3" s="2"/>
      <c r="J3" s="2"/>
    </row>
    <row r="4" spans="1:10" x14ac:dyDescent="0.3">
      <c r="A4" s="9" t="s">
        <v>49</v>
      </c>
      <c r="B4" s="12" t="s">
        <v>50</v>
      </c>
    </row>
    <row r="5" spans="1:10" x14ac:dyDescent="0.3">
      <c r="A5" s="11" t="s">
        <v>51</v>
      </c>
      <c r="B5" s="12" t="s">
        <v>52</v>
      </c>
    </row>
    <row r="6" spans="1:10" x14ac:dyDescent="0.3">
      <c r="A6" s="3" t="s">
        <v>5</v>
      </c>
      <c r="B6" s="2" t="s">
        <v>6</v>
      </c>
      <c r="C6" s="2"/>
      <c r="D6" s="2"/>
      <c r="E6" s="2"/>
      <c r="F6" s="2"/>
      <c r="G6" s="2"/>
      <c r="H6" s="2"/>
      <c r="I6" s="2"/>
      <c r="J6" s="2"/>
    </row>
    <row r="7" spans="1:10" x14ac:dyDescent="0.3">
      <c r="A7" s="3" t="s">
        <v>7</v>
      </c>
      <c r="B7" s="2" t="s">
        <v>8</v>
      </c>
      <c r="C7" s="2"/>
      <c r="D7" s="2"/>
      <c r="E7" s="2"/>
      <c r="F7" s="2"/>
      <c r="G7" s="2"/>
      <c r="H7" s="2"/>
      <c r="I7" s="2"/>
      <c r="J7" s="2"/>
    </row>
    <row r="8" spans="1:10" x14ac:dyDescent="0.3">
      <c r="A8" s="4" t="s">
        <v>9</v>
      </c>
      <c r="B8" s="2"/>
      <c r="C8" s="5" t="s">
        <v>10</v>
      </c>
      <c r="D8" s="6">
        <f>COUNTA(A11:A40)</f>
        <v>2</v>
      </c>
      <c r="E8" s="5" t="s">
        <v>11</v>
      </c>
      <c r="F8" s="6">
        <f>COUNTIF(H11:H40,"Pass")</f>
        <v>1</v>
      </c>
      <c r="G8" s="5" t="s">
        <v>12</v>
      </c>
      <c r="H8" s="6">
        <f>COUNTIF(H11:H40,"Fail")</f>
        <v>1</v>
      </c>
      <c r="I8" s="5" t="s">
        <v>13</v>
      </c>
      <c r="J8" s="6">
        <f>COUNTIF(H11:H40,"NR")</f>
        <v>0</v>
      </c>
    </row>
    <row r="10" spans="1:10" ht="57.6" x14ac:dyDescent="0.3">
      <c r="A10" s="7" t="s">
        <v>14</v>
      </c>
      <c r="B10" s="7" t="s">
        <v>15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  <c r="H10" s="7" t="s">
        <v>21</v>
      </c>
      <c r="I10" s="7" t="s">
        <v>22</v>
      </c>
      <c r="J10" s="7" t="s">
        <v>23</v>
      </c>
    </row>
    <row r="11" spans="1:10" ht="103.2" customHeight="1" x14ac:dyDescent="0.3">
      <c r="A11" s="8" t="s">
        <v>76</v>
      </c>
      <c r="B11" s="8" t="s">
        <v>77</v>
      </c>
      <c r="C11" s="8" t="s">
        <v>78</v>
      </c>
      <c r="D11" s="8" t="s">
        <v>79</v>
      </c>
      <c r="E11" s="8" t="s">
        <v>80</v>
      </c>
      <c r="F11" s="8" t="s">
        <v>81</v>
      </c>
      <c r="G11" s="8" t="s">
        <v>241</v>
      </c>
      <c r="H11" s="8" t="s">
        <v>12</v>
      </c>
      <c r="I11" s="8" t="s">
        <v>82</v>
      </c>
      <c r="J11" s="8" t="s">
        <v>83</v>
      </c>
    </row>
    <row r="12" spans="1:10" ht="72" x14ac:dyDescent="0.3">
      <c r="A12" s="8" t="s">
        <v>84</v>
      </c>
      <c r="B12" s="8" t="s">
        <v>85</v>
      </c>
      <c r="C12" s="8" t="s">
        <v>86</v>
      </c>
      <c r="D12" s="8" t="s">
        <v>87</v>
      </c>
      <c r="E12" s="8" t="s">
        <v>88</v>
      </c>
      <c r="F12" s="8" t="s">
        <v>89</v>
      </c>
      <c r="G12" s="8" t="s">
        <v>89</v>
      </c>
      <c r="H12" s="8" t="s">
        <v>11</v>
      </c>
      <c r="I12" s="8" t="s">
        <v>90</v>
      </c>
      <c r="J12" s="8" t="s">
        <v>91</v>
      </c>
    </row>
  </sheetData>
  <mergeCells count="6">
    <mergeCell ref="A8:B8"/>
    <mergeCell ref="A1:J1"/>
    <mergeCell ref="B2:J2"/>
    <mergeCell ref="B3:J3"/>
    <mergeCell ref="B6:J6"/>
    <mergeCell ref="B7:J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13CE-6119-43E5-AC4E-F69DA0670528}">
  <dimension ref="A1:K22"/>
  <sheetViews>
    <sheetView workbookViewId="0">
      <selection activeCell="A4" sqref="A4:B5"/>
    </sheetView>
  </sheetViews>
  <sheetFormatPr defaultRowHeight="14.4" x14ac:dyDescent="0.3"/>
  <cols>
    <col min="1" max="1" width="24.21875" customWidth="1"/>
    <col min="2" max="2" width="15" customWidth="1"/>
    <col min="3" max="3" width="16.5546875" customWidth="1"/>
    <col min="4" max="4" width="19.21875" customWidth="1"/>
    <col min="5" max="5" width="23.109375" customWidth="1"/>
    <col min="6" max="6" width="17.21875" customWidth="1"/>
    <col min="11" max="11" width="13.6640625" customWidth="1"/>
  </cols>
  <sheetData>
    <row r="1" spans="1:11" ht="21" x14ac:dyDescent="0.3">
      <c r="A1" s="1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0</v>
      </c>
      <c r="B2" s="2" t="s">
        <v>92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3" t="s">
        <v>2</v>
      </c>
      <c r="B3" s="2" t="s">
        <v>93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9" t="s">
        <v>49</v>
      </c>
      <c r="B4" s="12" t="s">
        <v>50</v>
      </c>
    </row>
    <row r="5" spans="1:11" x14ac:dyDescent="0.3">
      <c r="A5" s="11" t="s">
        <v>51</v>
      </c>
      <c r="B5" s="12" t="s">
        <v>52</v>
      </c>
    </row>
    <row r="6" spans="1:11" x14ac:dyDescent="0.3">
      <c r="A6" s="3" t="s">
        <v>5</v>
      </c>
      <c r="B6" s="2" t="s">
        <v>6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3" t="s">
        <v>7</v>
      </c>
      <c r="B7" s="2" t="s">
        <v>8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4" t="s">
        <v>9</v>
      </c>
      <c r="B8" s="2"/>
      <c r="C8" s="5" t="s">
        <v>10</v>
      </c>
      <c r="D8" s="6">
        <f>COUNTA(A11:A40)</f>
        <v>12</v>
      </c>
      <c r="E8" s="5" t="s">
        <v>11</v>
      </c>
      <c r="F8" s="6">
        <f>COUNTIF(H11:H40,"Pass")</f>
        <v>6</v>
      </c>
      <c r="G8" s="5" t="s">
        <v>12</v>
      </c>
      <c r="H8" s="6">
        <f>COUNTIF(H11:H40,"Fail")</f>
        <v>6</v>
      </c>
      <c r="I8" s="5" t="s">
        <v>13</v>
      </c>
      <c r="J8" s="6">
        <f>COUNTIF(H11:H40,"NR")</f>
        <v>0</v>
      </c>
    </row>
    <row r="10" spans="1:11" ht="57.6" x14ac:dyDescent="0.3">
      <c r="A10" s="7" t="s">
        <v>14</v>
      </c>
      <c r="B10" s="7" t="s">
        <v>15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  <c r="H10" s="7" t="s">
        <v>21</v>
      </c>
      <c r="I10" s="7" t="s">
        <v>22</v>
      </c>
      <c r="J10" s="7" t="s">
        <v>23</v>
      </c>
      <c r="K10" s="7" t="s">
        <v>24</v>
      </c>
    </row>
    <row r="11" spans="1:11" ht="57.6" x14ac:dyDescent="0.3">
      <c r="A11" s="8" t="s">
        <v>94</v>
      </c>
      <c r="B11" s="8" t="s">
        <v>95</v>
      </c>
      <c r="C11" s="8" t="s">
        <v>96</v>
      </c>
      <c r="D11" s="8" t="s">
        <v>97</v>
      </c>
      <c r="E11" s="8" t="s">
        <v>98</v>
      </c>
      <c r="F11" s="8" t="s">
        <v>99</v>
      </c>
      <c r="G11" s="8" t="s">
        <v>242</v>
      </c>
      <c r="H11" s="8" t="s">
        <v>12</v>
      </c>
      <c r="I11" s="8" t="s">
        <v>100</v>
      </c>
      <c r="J11" s="8" t="s">
        <v>60</v>
      </c>
      <c r="K11" s="8" t="s">
        <v>101</v>
      </c>
    </row>
    <row r="12" spans="1:11" ht="57.6" x14ac:dyDescent="0.3">
      <c r="A12" s="8" t="s">
        <v>102</v>
      </c>
      <c r="B12" s="8" t="s">
        <v>103</v>
      </c>
      <c r="C12" s="8" t="s">
        <v>96</v>
      </c>
      <c r="D12" s="8" t="s">
        <v>104</v>
      </c>
      <c r="E12" s="8" t="s">
        <v>105</v>
      </c>
      <c r="F12" s="8" t="s">
        <v>106</v>
      </c>
      <c r="G12" s="8" t="s">
        <v>106</v>
      </c>
      <c r="H12" s="8" t="s">
        <v>11</v>
      </c>
      <c r="I12" s="8" t="s">
        <v>100</v>
      </c>
      <c r="J12" s="8" t="s">
        <v>67</v>
      </c>
      <c r="K12" s="8" t="s">
        <v>107</v>
      </c>
    </row>
    <row r="13" spans="1:11" ht="57.6" x14ac:dyDescent="0.3">
      <c r="A13" s="8" t="s">
        <v>108</v>
      </c>
      <c r="B13" s="8" t="s">
        <v>109</v>
      </c>
      <c r="C13" s="8" t="s">
        <v>96</v>
      </c>
      <c r="D13" s="8" t="s">
        <v>110</v>
      </c>
      <c r="E13" s="8" t="s">
        <v>111</v>
      </c>
      <c r="F13" s="8" t="s">
        <v>112</v>
      </c>
      <c r="G13" s="8" t="s">
        <v>112</v>
      </c>
      <c r="H13" s="8" t="s">
        <v>12</v>
      </c>
      <c r="I13" s="8" t="s">
        <v>100</v>
      </c>
      <c r="J13" s="8" t="s">
        <v>60</v>
      </c>
      <c r="K13" s="8" t="s">
        <v>113</v>
      </c>
    </row>
    <row r="14" spans="1:11" ht="57.6" x14ac:dyDescent="0.3">
      <c r="A14" s="8" t="s">
        <v>114</v>
      </c>
      <c r="B14" s="8" t="s">
        <v>115</v>
      </c>
      <c r="C14" s="8" t="s">
        <v>96</v>
      </c>
      <c r="D14" s="8" t="s">
        <v>116</v>
      </c>
      <c r="E14" s="8" t="s">
        <v>117</v>
      </c>
      <c r="F14" s="8" t="s">
        <v>243</v>
      </c>
      <c r="G14" s="8" t="s">
        <v>244</v>
      </c>
      <c r="H14" s="8" t="s">
        <v>12</v>
      </c>
      <c r="I14" s="8" t="s">
        <v>100</v>
      </c>
      <c r="J14" s="8" t="s">
        <v>118</v>
      </c>
      <c r="K14" s="8" t="s">
        <v>119</v>
      </c>
    </row>
    <row r="15" spans="1:11" ht="43.2" x14ac:dyDescent="0.3">
      <c r="A15" s="8" t="s">
        <v>120</v>
      </c>
      <c r="B15" s="8" t="s">
        <v>121</v>
      </c>
      <c r="C15" s="8" t="s">
        <v>96</v>
      </c>
      <c r="D15" s="8" t="s">
        <v>122</v>
      </c>
      <c r="E15" s="8" t="s">
        <v>123</v>
      </c>
      <c r="F15" s="8" t="s">
        <v>106</v>
      </c>
      <c r="G15" s="8" t="s">
        <v>106</v>
      </c>
      <c r="H15" s="8" t="s">
        <v>11</v>
      </c>
      <c r="I15" s="8" t="s">
        <v>100</v>
      </c>
      <c r="J15" s="8" t="s">
        <v>67</v>
      </c>
      <c r="K15" s="8" t="s">
        <v>124</v>
      </c>
    </row>
    <row r="16" spans="1:11" ht="43.2" x14ac:dyDescent="0.3">
      <c r="A16" s="8" t="s">
        <v>125</v>
      </c>
      <c r="B16" s="8" t="s">
        <v>126</v>
      </c>
      <c r="C16" s="8" t="s">
        <v>96</v>
      </c>
      <c r="D16" s="8" t="s">
        <v>127</v>
      </c>
      <c r="E16" s="8" t="s">
        <v>128</v>
      </c>
      <c r="F16" s="8" t="s">
        <v>112</v>
      </c>
      <c r="G16" s="8" t="s">
        <v>112</v>
      </c>
      <c r="H16" s="8" t="s">
        <v>12</v>
      </c>
      <c r="I16" s="8" t="s">
        <v>100</v>
      </c>
      <c r="J16" s="8" t="s">
        <v>60</v>
      </c>
      <c r="K16" s="8" t="s">
        <v>129</v>
      </c>
    </row>
    <row r="17" spans="1:11" ht="86.4" x14ac:dyDescent="0.3">
      <c r="A17" s="8" t="s">
        <v>130</v>
      </c>
      <c r="B17" s="8" t="s">
        <v>131</v>
      </c>
      <c r="C17" s="8" t="s">
        <v>96</v>
      </c>
      <c r="D17" s="8" t="s">
        <v>132</v>
      </c>
      <c r="E17" s="8" t="s">
        <v>133</v>
      </c>
      <c r="F17" s="8" t="s">
        <v>106</v>
      </c>
      <c r="G17" s="8" t="s">
        <v>106</v>
      </c>
      <c r="H17" s="8" t="s">
        <v>11</v>
      </c>
      <c r="I17" s="8" t="s">
        <v>100</v>
      </c>
      <c r="J17" s="8" t="s">
        <v>134</v>
      </c>
      <c r="K17" s="8" t="s">
        <v>135</v>
      </c>
    </row>
    <row r="18" spans="1:11" ht="86.4" x14ac:dyDescent="0.3">
      <c r="A18" s="8" t="s">
        <v>136</v>
      </c>
      <c r="B18" s="8" t="s">
        <v>137</v>
      </c>
      <c r="C18" s="8" t="s">
        <v>96</v>
      </c>
      <c r="D18" s="8" t="s">
        <v>138</v>
      </c>
      <c r="E18" s="8" t="s">
        <v>139</v>
      </c>
      <c r="F18" s="8" t="s">
        <v>106</v>
      </c>
      <c r="G18" s="8" t="s">
        <v>106</v>
      </c>
      <c r="H18" s="8" t="s">
        <v>11</v>
      </c>
      <c r="I18" s="8" t="s">
        <v>100</v>
      </c>
      <c r="J18" s="8" t="s">
        <v>67</v>
      </c>
      <c r="K18" s="8" t="s">
        <v>140</v>
      </c>
    </row>
    <row r="19" spans="1:11" ht="86.4" x14ac:dyDescent="0.3">
      <c r="A19" s="8" t="s">
        <v>141</v>
      </c>
      <c r="B19" s="8" t="s">
        <v>142</v>
      </c>
      <c r="C19" s="8" t="s">
        <v>96</v>
      </c>
      <c r="D19" s="8" t="s">
        <v>143</v>
      </c>
      <c r="E19" s="8" t="s">
        <v>144</v>
      </c>
      <c r="F19" s="8" t="s">
        <v>145</v>
      </c>
      <c r="G19" s="8" t="s">
        <v>245</v>
      </c>
      <c r="H19" s="8" t="s">
        <v>12</v>
      </c>
      <c r="I19" s="8" t="s">
        <v>100</v>
      </c>
      <c r="J19" s="8" t="s">
        <v>60</v>
      </c>
      <c r="K19" s="8" t="s">
        <v>146</v>
      </c>
    </row>
    <row r="20" spans="1:11" ht="43.2" x14ac:dyDescent="0.3">
      <c r="A20" s="8" t="s">
        <v>147</v>
      </c>
      <c r="B20" s="8" t="s">
        <v>148</v>
      </c>
      <c r="C20" s="8" t="s">
        <v>96</v>
      </c>
      <c r="D20" s="8" t="s">
        <v>149</v>
      </c>
      <c r="E20" s="8" t="s">
        <v>150</v>
      </c>
      <c r="F20" s="8" t="s">
        <v>106</v>
      </c>
      <c r="G20" s="8" t="s">
        <v>106</v>
      </c>
      <c r="H20" s="8" t="s">
        <v>11</v>
      </c>
      <c r="I20" s="8" t="s">
        <v>100</v>
      </c>
      <c r="J20" s="8" t="s">
        <v>118</v>
      </c>
      <c r="K20" s="8" t="s">
        <v>151</v>
      </c>
    </row>
    <row r="21" spans="1:11" ht="43.2" x14ac:dyDescent="0.3">
      <c r="A21" s="8" t="s">
        <v>152</v>
      </c>
      <c r="B21" s="8" t="s">
        <v>153</v>
      </c>
      <c r="C21" s="8" t="s">
        <v>96</v>
      </c>
      <c r="D21" s="8" t="s">
        <v>154</v>
      </c>
      <c r="E21" s="8" t="s">
        <v>123</v>
      </c>
      <c r="F21" s="8" t="s">
        <v>106</v>
      </c>
      <c r="G21" s="8" t="s">
        <v>4</v>
      </c>
      <c r="H21" s="8" t="s">
        <v>11</v>
      </c>
      <c r="I21" s="8" t="s">
        <v>100</v>
      </c>
      <c r="J21" s="8" t="s">
        <v>67</v>
      </c>
      <c r="K21" s="8" t="s">
        <v>155</v>
      </c>
    </row>
    <row r="22" spans="1:11" ht="43.2" x14ac:dyDescent="0.3">
      <c r="A22" s="8" t="s">
        <v>156</v>
      </c>
      <c r="B22" s="8" t="s">
        <v>157</v>
      </c>
      <c r="C22" s="8" t="s">
        <v>96</v>
      </c>
      <c r="D22" s="8" t="s">
        <v>158</v>
      </c>
      <c r="E22" s="8" t="s">
        <v>128</v>
      </c>
      <c r="F22" s="8" t="s">
        <v>112</v>
      </c>
      <c r="G22" s="8" t="s">
        <v>112</v>
      </c>
      <c r="H22" s="8" t="s">
        <v>12</v>
      </c>
      <c r="I22" s="8" t="s">
        <v>100</v>
      </c>
      <c r="J22" s="8" t="s">
        <v>60</v>
      </c>
      <c r="K22" s="8" t="s">
        <v>159</v>
      </c>
    </row>
  </sheetData>
  <mergeCells count="6">
    <mergeCell ref="A8:B8"/>
    <mergeCell ref="A1:K1"/>
    <mergeCell ref="B2:K2"/>
    <mergeCell ref="B3:K3"/>
    <mergeCell ref="B6:K6"/>
    <mergeCell ref="B7:K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BD4E-7C24-4901-B777-6AC6906F0991}">
  <dimension ref="A1:J15"/>
  <sheetViews>
    <sheetView workbookViewId="0">
      <selection activeCell="A4" sqref="A4:B5"/>
    </sheetView>
  </sheetViews>
  <sheetFormatPr defaultRowHeight="14.4" x14ac:dyDescent="0.3"/>
  <cols>
    <col min="1" max="1" width="20.21875" customWidth="1"/>
    <col min="2" max="2" width="15.44140625" customWidth="1"/>
    <col min="3" max="3" width="15.109375" customWidth="1"/>
    <col min="4" max="4" width="14.109375" customWidth="1"/>
    <col min="5" max="5" width="13.5546875" customWidth="1"/>
    <col min="6" max="6" width="15.6640625" customWidth="1"/>
    <col min="7" max="7" width="12.21875" customWidth="1"/>
    <col min="8" max="8" width="14.44140625" customWidth="1"/>
  </cols>
  <sheetData>
    <row r="1" spans="1:10" ht="21" x14ac:dyDescent="0.3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0</v>
      </c>
      <c r="B2" s="2" t="s">
        <v>160</v>
      </c>
      <c r="C2" s="2"/>
      <c r="D2" s="2"/>
      <c r="E2" s="2"/>
      <c r="F2" s="2"/>
      <c r="G2" s="2"/>
      <c r="H2" s="2"/>
      <c r="I2" s="2"/>
      <c r="J2" s="2"/>
    </row>
    <row r="3" spans="1:10" x14ac:dyDescent="0.3">
      <c r="A3" s="3" t="s">
        <v>2</v>
      </c>
      <c r="B3" s="2" t="s">
        <v>161</v>
      </c>
      <c r="C3" s="2"/>
      <c r="D3" s="2"/>
      <c r="E3" s="2"/>
      <c r="F3" s="2"/>
      <c r="G3" s="2"/>
      <c r="H3" s="2"/>
      <c r="I3" s="2"/>
      <c r="J3" s="2"/>
    </row>
    <row r="4" spans="1:10" x14ac:dyDescent="0.3">
      <c r="A4" s="9" t="s">
        <v>49</v>
      </c>
      <c r="B4" s="12" t="s">
        <v>50</v>
      </c>
    </row>
    <row r="5" spans="1:10" x14ac:dyDescent="0.3">
      <c r="A5" s="27" t="s">
        <v>51</v>
      </c>
      <c r="B5" s="26" t="s">
        <v>52</v>
      </c>
    </row>
    <row r="6" spans="1:10" x14ac:dyDescent="0.3">
      <c r="A6" s="3" t="s">
        <v>5</v>
      </c>
      <c r="B6" s="2" t="s">
        <v>6</v>
      </c>
      <c r="C6" s="2"/>
      <c r="D6" s="2"/>
      <c r="E6" s="2"/>
      <c r="F6" s="2"/>
      <c r="G6" s="2"/>
      <c r="H6" s="2"/>
      <c r="I6" s="2"/>
      <c r="J6" s="2"/>
    </row>
    <row r="7" spans="1:10" x14ac:dyDescent="0.3">
      <c r="A7" s="3" t="s">
        <v>7</v>
      </c>
      <c r="B7" s="2" t="s">
        <v>8</v>
      </c>
      <c r="C7" s="2"/>
      <c r="D7" s="2"/>
      <c r="E7" s="2"/>
      <c r="F7" s="2"/>
      <c r="G7" s="2"/>
      <c r="H7" s="2"/>
      <c r="I7" s="2"/>
      <c r="J7" s="2"/>
    </row>
    <row r="8" spans="1:10" x14ac:dyDescent="0.3">
      <c r="A8" s="4" t="s">
        <v>9</v>
      </c>
      <c r="B8" s="2"/>
      <c r="C8" s="5" t="s">
        <v>10</v>
      </c>
      <c r="D8" s="6">
        <f>COUNTA(A11:A40)</f>
        <v>5</v>
      </c>
      <c r="E8" s="5" t="s">
        <v>11</v>
      </c>
      <c r="F8" s="6">
        <f>COUNTIF(H11:H40,"Pass")</f>
        <v>2</v>
      </c>
      <c r="G8" s="5" t="s">
        <v>12</v>
      </c>
      <c r="H8" s="6">
        <f>COUNTIF(H11:H40,"Fail")</f>
        <v>3</v>
      </c>
      <c r="I8" s="5" t="s">
        <v>13</v>
      </c>
      <c r="J8" s="6">
        <f>COUNTIF(H11:H40,"NR")</f>
        <v>0</v>
      </c>
    </row>
    <row r="10" spans="1:10" ht="57.6" x14ac:dyDescent="0.3">
      <c r="A10" s="7" t="s">
        <v>14</v>
      </c>
      <c r="B10" s="7" t="s">
        <v>15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  <c r="H10" s="7" t="s">
        <v>21</v>
      </c>
      <c r="I10" s="7" t="s">
        <v>22</v>
      </c>
      <c r="J10" s="7" t="s">
        <v>23</v>
      </c>
    </row>
    <row r="11" spans="1:10" ht="43.2" x14ac:dyDescent="0.3">
      <c r="A11" s="8" t="s">
        <v>162</v>
      </c>
      <c r="B11" s="8" t="s">
        <v>163</v>
      </c>
      <c r="C11" s="8" t="s">
        <v>96</v>
      </c>
      <c r="D11" s="8" t="s">
        <v>164</v>
      </c>
      <c r="E11" s="8" t="s">
        <v>165</v>
      </c>
      <c r="F11" s="8" t="s">
        <v>166</v>
      </c>
      <c r="G11" s="8" t="s">
        <v>193</v>
      </c>
      <c r="H11" s="8" t="s">
        <v>12</v>
      </c>
      <c r="I11" s="8" t="s">
        <v>167</v>
      </c>
      <c r="J11" s="8" t="s">
        <v>60</v>
      </c>
    </row>
    <row r="12" spans="1:10" ht="43.2" x14ac:dyDescent="0.3">
      <c r="A12" s="8" t="s">
        <v>168</v>
      </c>
      <c r="B12" s="8" t="s">
        <v>169</v>
      </c>
      <c r="C12" s="8" t="s">
        <v>96</v>
      </c>
      <c r="D12" s="8" t="s">
        <v>170</v>
      </c>
      <c r="E12" s="8" t="s">
        <v>171</v>
      </c>
      <c r="F12" s="8" t="s">
        <v>172</v>
      </c>
      <c r="G12" s="8" t="s">
        <v>172</v>
      </c>
      <c r="H12" s="8" t="s">
        <v>11</v>
      </c>
      <c r="I12" s="8" t="s">
        <v>167</v>
      </c>
      <c r="J12" s="8" t="s">
        <v>60</v>
      </c>
    </row>
    <row r="13" spans="1:10" ht="43.2" x14ac:dyDescent="0.3">
      <c r="A13" s="8" t="s">
        <v>173</v>
      </c>
      <c r="B13" s="8" t="s">
        <v>174</v>
      </c>
      <c r="C13" s="8" t="s">
        <v>96</v>
      </c>
      <c r="D13" s="8" t="s">
        <v>175</v>
      </c>
      <c r="E13" s="8" t="s">
        <v>171</v>
      </c>
      <c r="F13" s="8" t="s">
        <v>176</v>
      </c>
      <c r="G13" s="8" t="s">
        <v>191</v>
      </c>
      <c r="H13" s="8" t="s">
        <v>11</v>
      </c>
      <c r="I13" s="8" t="s">
        <v>177</v>
      </c>
      <c r="J13" s="8" t="s">
        <v>178</v>
      </c>
    </row>
    <row r="14" spans="1:10" ht="28.8" x14ac:dyDescent="0.3">
      <c r="A14" s="8" t="s">
        <v>179</v>
      </c>
      <c r="B14" s="8" t="s">
        <v>180</v>
      </c>
      <c r="C14" s="8" t="s">
        <v>181</v>
      </c>
      <c r="D14" s="8" t="s">
        <v>182</v>
      </c>
      <c r="E14" s="8" t="s">
        <v>171</v>
      </c>
      <c r="F14" s="8" t="s">
        <v>183</v>
      </c>
      <c r="G14" s="8" t="s">
        <v>183</v>
      </c>
      <c r="H14" s="8" t="s">
        <v>12</v>
      </c>
      <c r="I14" s="8" t="s">
        <v>184</v>
      </c>
      <c r="J14" s="8" t="s">
        <v>185</v>
      </c>
    </row>
    <row r="15" spans="1:10" ht="43.2" x14ac:dyDescent="0.3">
      <c r="A15" s="8" t="s">
        <v>186</v>
      </c>
      <c r="B15" s="8" t="s">
        <v>187</v>
      </c>
      <c r="C15" s="8" t="s">
        <v>96</v>
      </c>
      <c r="D15" s="8" t="s">
        <v>188</v>
      </c>
      <c r="E15" s="8" t="s">
        <v>189</v>
      </c>
      <c r="F15" s="8" t="s">
        <v>192</v>
      </c>
      <c r="G15" s="8" t="s">
        <v>112</v>
      </c>
      <c r="H15" s="8" t="s">
        <v>12</v>
      </c>
      <c r="I15" s="8" t="s">
        <v>100</v>
      </c>
      <c r="J15" s="8" t="s">
        <v>190</v>
      </c>
    </row>
  </sheetData>
  <mergeCells count="6">
    <mergeCell ref="A8:B8"/>
    <mergeCell ref="A1:J1"/>
    <mergeCell ref="B2:J2"/>
    <mergeCell ref="B3:J3"/>
    <mergeCell ref="B6:J6"/>
    <mergeCell ref="B7:J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6927-C1BD-4833-999E-7DF7CC44E25D}">
  <dimension ref="A1:J16"/>
  <sheetViews>
    <sheetView workbookViewId="0">
      <selection activeCell="B7" sqref="B7:J7"/>
    </sheetView>
  </sheetViews>
  <sheetFormatPr defaultRowHeight="14.4" x14ac:dyDescent="0.3"/>
  <cols>
    <col min="1" max="1" width="19.88671875" customWidth="1"/>
    <col min="2" max="2" width="20.77734375" customWidth="1"/>
    <col min="3" max="3" width="18.109375" customWidth="1"/>
    <col min="4" max="4" width="25.5546875" customWidth="1"/>
    <col min="5" max="5" width="17.88671875" customWidth="1"/>
    <col min="6" max="6" width="19.109375" customWidth="1"/>
    <col min="7" max="7" width="15.109375" customWidth="1"/>
    <col min="8" max="8" width="16" customWidth="1"/>
    <col min="9" max="9" width="21.33203125" customWidth="1"/>
    <col min="10" max="10" width="15.88671875" customWidth="1"/>
  </cols>
  <sheetData>
    <row r="1" spans="1:10" ht="21" x14ac:dyDescent="0.3">
      <c r="A1" s="1" t="s">
        <v>246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0</v>
      </c>
      <c r="B2" s="2" t="s">
        <v>194</v>
      </c>
      <c r="C2" s="2"/>
      <c r="D2" s="2"/>
      <c r="E2" s="2"/>
      <c r="F2" s="2"/>
      <c r="G2" s="2"/>
      <c r="H2" s="2"/>
      <c r="I2" s="2"/>
      <c r="J2" s="2"/>
    </row>
    <row r="3" spans="1:10" x14ac:dyDescent="0.3">
      <c r="A3" s="3" t="s">
        <v>2</v>
      </c>
      <c r="B3" s="2" t="s">
        <v>195</v>
      </c>
      <c r="C3" s="2"/>
      <c r="D3" s="2"/>
      <c r="E3" s="2"/>
      <c r="F3" s="2"/>
      <c r="G3" s="2"/>
      <c r="H3" s="2"/>
      <c r="I3" s="2"/>
      <c r="J3" s="2"/>
    </row>
    <row r="4" spans="1:10" x14ac:dyDescent="0.3">
      <c r="A4" s="9" t="s">
        <v>49</v>
      </c>
      <c r="B4" s="12" t="s">
        <v>50</v>
      </c>
    </row>
    <row r="5" spans="1:10" x14ac:dyDescent="0.3">
      <c r="A5" s="27" t="s">
        <v>51</v>
      </c>
      <c r="B5" s="26" t="s">
        <v>52</v>
      </c>
    </row>
    <row r="6" spans="1:10" x14ac:dyDescent="0.3">
      <c r="A6" s="3" t="s">
        <v>5</v>
      </c>
      <c r="B6" s="2" t="s">
        <v>6</v>
      </c>
      <c r="C6" s="2"/>
      <c r="D6" s="2"/>
      <c r="E6" s="2"/>
      <c r="F6" s="2"/>
      <c r="G6" s="2"/>
      <c r="H6" s="2"/>
      <c r="I6" s="2"/>
      <c r="J6" s="2"/>
    </row>
    <row r="7" spans="1:10" x14ac:dyDescent="0.3">
      <c r="A7" s="3" t="s">
        <v>7</v>
      </c>
      <c r="B7" s="2" t="s">
        <v>8</v>
      </c>
      <c r="C7" s="2"/>
      <c r="D7" s="2"/>
      <c r="E7" s="2"/>
      <c r="F7" s="2"/>
      <c r="G7" s="2"/>
      <c r="H7" s="2"/>
      <c r="I7" s="2"/>
      <c r="J7" s="2"/>
    </row>
    <row r="8" spans="1:10" x14ac:dyDescent="0.3">
      <c r="A8" s="4" t="s">
        <v>9</v>
      </c>
      <c r="B8" s="2"/>
      <c r="C8" s="5" t="s">
        <v>10</v>
      </c>
      <c r="D8" s="6">
        <f>COUNTA(A11:A40)</f>
        <v>6</v>
      </c>
      <c r="E8" s="5" t="s">
        <v>11</v>
      </c>
      <c r="F8" s="6">
        <f>COUNTIF(H11:H40,"Pass")</f>
        <v>3</v>
      </c>
      <c r="G8" s="5" t="s">
        <v>12</v>
      </c>
      <c r="H8" s="6">
        <f>COUNTIF(H11:H40,"Fail")</f>
        <v>3</v>
      </c>
      <c r="I8" s="5" t="s">
        <v>13</v>
      </c>
      <c r="J8" s="6">
        <f>COUNTIF(H11:H40,"NR")</f>
        <v>0</v>
      </c>
    </row>
    <row r="10" spans="1:10" ht="28.8" x14ac:dyDescent="0.3">
      <c r="A10" s="24" t="s">
        <v>14</v>
      </c>
      <c r="B10" s="24" t="s">
        <v>15</v>
      </c>
      <c r="C10" s="24" t="s">
        <v>16</v>
      </c>
      <c r="D10" s="24" t="s">
        <v>17</v>
      </c>
      <c r="E10" s="24" t="s">
        <v>18</v>
      </c>
      <c r="F10" s="24" t="s">
        <v>19</v>
      </c>
      <c r="G10" s="24" t="s">
        <v>20</v>
      </c>
      <c r="H10" s="24" t="s">
        <v>21</v>
      </c>
      <c r="I10" s="24" t="s">
        <v>22</v>
      </c>
      <c r="J10" s="24" t="s">
        <v>23</v>
      </c>
    </row>
    <row r="11" spans="1:10" ht="57.6" x14ac:dyDescent="0.3">
      <c r="A11" s="25" t="s">
        <v>196</v>
      </c>
      <c r="B11" s="25" t="s">
        <v>197</v>
      </c>
      <c r="C11" s="25" t="s">
        <v>96</v>
      </c>
      <c r="D11" s="25" t="s">
        <v>198</v>
      </c>
      <c r="E11" s="25" t="s">
        <v>199</v>
      </c>
      <c r="F11" s="25" t="s">
        <v>200</v>
      </c>
      <c r="G11" s="25" t="s">
        <v>229</v>
      </c>
      <c r="H11" s="25" t="s">
        <v>12</v>
      </c>
      <c r="I11" s="25" t="s">
        <v>167</v>
      </c>
      <c r="J11" s="25" t="s">
        <v>60</v>
      </c>
    </row>
    <row r="12" spans="1:10" ht="28.8" x14ac:dyDescent="0.3">
      <c r="A12" s="25" t="s">
        <v>201</v>
      </c>
      <c r="B12" s="25" t="s">
        <v>202</v>
      </c>
      <c r="C12" s="25" t="s">
        <v>96</v>
      </c>
      <c r="D12" s="25" t="s">
        <v>203</v>
      </c>
      <c r="E12" s="25" t="s">
        <v>204</v>
      </c>
      <c r="F12" s="25" t="s">
        <v>205</v>
      </c>
      <c r="G12" s="25" t="s">
        <v>205</v>
      </c>
      <c r="H12" s="25" t="s">
        <v>12</v>
      </c>
      <c r="I12" s="25" t="s">
        <v>167</v>
      </c>
      <c r="J12" s="25" t="s">
        <v>206</v>
      </c>
    </row>
    <row r="13" spans="1:10" ht="28.8" x14ac:dyDescent="0.3">
      <c r="A13" s="25" t="s">
        <v>207</v>
      </c>
      <c r="B13" s="25" t="s">
        <v>208</v>
      </c>
      <c r="C13" s="25" t="s">
        <v>96</v>
      </c>
      <c r="D13" s="25" t="s">
        <v>209</v>
      </c>
      <c r="E13" s="25" t="s">
        <v>204</v>
      </c>
      <c r="F13" s="25" t="s">
        <v>210</v>
      </c>
      <c r="G13" s="25" t="s">
        <v>210</v>
      </c>
      <c r="H13" s="25" t="s">
        <v>12</v>
      </c>
      <c r="I13" s="25" t="s">
        <v>100</v>
      </c>
      <c r="J13" s="25" t="s">
        <v>60</v>
      </c>
    </row>
    <row r="14" spans="1:10" ht="57.6" x14ac:dyDescent="0.3">
      <c r="A14" s="25" t="s">
        <v>211</v>
      </c>
      <c r="B14" s="25" t="s">
        <v>212</v>
      </c>
      <c r="C14" s="25" t="s">
        <v>96</v>
      </c>
      <c r="D14" s="25" t="s">
        <v>213</v>
      </c>
      <c r="E14" s="25" t="s">
        <v>204</v>
      </c>
      <c r="F14" s="25" t="s">
        <v>106</v>
      </c>
      <c r="G14" s="25" t="s">
        <v>106</v>
      </c>
      <c r="H14" s="25" t="s">
        <v>11</v>
      </c>
      <c r="I14" s="25" t="s">
        <v>177</v>
      </c>
      <c r="J14" s="25" t="s">
        <v>178</v>
      </c>
    </row>
    <row r="15" spans="1:10" ht="28.8" x14ac:dyDescent="0.3">
      <c r="A15" s="25" t="s">
        <v>214</v>
      </c>
      <c r="B15" s="25" t="s">
        <v>215</v>
      </c>
      <c r="C15" s="25" t="s">
        <v>216</v>
      </c>
      <c r="D15" s="25" t="s">
        <v>217</v>
      </c>
      <c r="E15" s="25" t="s">
        <v>218</v>
      </c>
      <c r="F15" s="25" t="s">
        <v>219</v>
      </c>
      <c r="G15" s="25" t="s">
        <v>230</v>
      </c>
      <c r="H15" s="25" t="s">
        <v>11</v>
      </c>
      <c r="I15" s="25" t="s">
        <v>220</v>
      </c>
      <c r="J15" s="25" t="s">
        <v>221</v>
      </c>
    </row>
    <row r="16" spans="1:10" ht="28.8" x14ac:dyDescent="0.3">
      <c r="A16" s="25" t="s">
        <v>222</v>
      </c>
      <c r="B16" s="25" t="s">
        <v>223</v>
      </c>
      <c r="C16" s="25" t="s">
        <v>224</v>
      </c>
      <c r="D16" s="25" t="s">
        <v>225</v>
      </c>
      <c r="E16" s="25" t="s">
        <v>226</v>
      </c>
      <c r="F16" s="25" t="s">
        <v>227</v>
      </c>
      <c r="G16" s="25" t="s">
        <v>231</v>
      </c>
      <c r="H16" s="25" t="s">
        <v>11</v>
      </c>
      <c r="I16" s="25" t="s">
        <v>177</v>
      </c>
      <c r="J16" s="25" t="s">
        <v>228</v>
      </c>
    </row>
  </sheetData>
  <mergeCells count="6">
    <mergeCell ref="A8:B8"/>
    <mergeCell ref="A1:J1"/>
    <mergeCell ref="B2:J2"/>
    <mergeCell ref="B3:J3"/>
    <mergeCell ref="B6:J6"/>
    <mergeCell ref="B7:J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Bài4</vt:lpstr>
      <vt:lpstr>Bài 5</vt:lpstr>
      <vt:lpstr>Bài6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2026-02-03T08:27:43Z</cp:lastPrinted>
  <dcterms:created xsi:type="dcterms:W3CDTF">2026-02-03T08:22:03Z</dcterms:created>
  <dcterms:modified xsi:type="dcterms:W3CDTF">2026-02-03T08:42:16Z</dcterms:modified>
</cp:coreProperties>
</file>